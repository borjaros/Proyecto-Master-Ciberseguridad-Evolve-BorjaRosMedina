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C_Informática\Desktop\ProyectosMadrid\Proyecto 1 Magerit\"/>
    </mc:Choice>
  </mc:AlternateContent>
  <xr:revisionPtr revIDLastSave="0" documentId="13_ncr:1_{1B53D088-14C2-42FC-BAAF-95DB83CFF1F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" i="1" l="1"/>
  <c r="G18" i="1"/>
  <c r="G21" i="1"/>
  <c r="G22" i="1"/>
  <c r="G23" i="1"/>
  <c r="G24" i="1"/>
  <c r="G27" i="1"/>
  <c r="G28" i="1"/>
  <c r="G15" i="1"/>
  <c r="G16" i="1"/>
  <c r="G7" i="1"/>
  <c r="G8" i="1"/>
  <c r="G9" i="1"/>
  <c r="G10" i="1"/>
  <c r="G11" i="1"/>
  <c r="G12" i="1"/>
  <c r="G6" i="1"/>
  <c r="G5" i="1"/>
  <c r="O8" i="1"/>
  <c r="O10" i="1"/>
  <c r="O12" i="1"/>
  <c r="O6" i="1"/>
  <c r="K15" i="1"/>
  <c r="M15" i="1" s="1"/>
  <c r="K16" i="1"/>
  <c r="O16" i="1" s="1"/>
  <c r="K17" i="1"/>
  <c r="M17" i="1" s="1"/>
  <c r="K18" i="1"/>
  <c r="O18" i="1" s="1"/>
  <c r="K21" i="1"/>
  <c r="M21" i="1" s="1"/>
  <c r="K22" i="1"/>
  <c r="M22" i="1" s="1"/>
  <c r="K23" i="1"/>
  <c r="N23" i="1" s="1"/>
  <c r="K24" i="1"/>
  <c r="O24" i="1" s="1"/>
  <c r="K27" i="1"/>
  <c r="M27" i="1" s="1"/>
  <c r="K28" i="1"/>
  <c r="M28" i="1" s="1"/>
  <c r="K6" i="1"/>
  <c r="N6" i="1" s="1"/>
  <c r="K7" i="1"/>
  <c r="M7" i="1" s="1"/>
  <c r="K8" i="1"/>
  <c r="M8" i="1" s="1"/>
  <c r="K9" i="1"/>
  <c r="N9" i="1" s="1"/>
  <c r="K10" i="1"/>
  <c r="N10" i="1" s="1"/>
  <c r="K11" i="1"/>
  <c r="M11" i="1" s="1"/>
  <c r="K12" i="1"/>
  <c r="M12" i="1" s="1"/>
  <c r="K5" i="1"/>
  <c r="M5" i="1" s="1"/>
  <c r="O27" i="1" l="1"/>
  <c r="O11" i="1"/>
  <c r="O7" i="1"/>
  <c r="N24" i="1"/>
  <c r="N5" i="1"/>
  <c r="M16" i="1"/>
  <c r="O21" i="1"/>
  <c r="M9" i="1"/>
  <c r="N15" i="1"/>
  <c r="N18" i="1"/>
  <c r="M23" i="1"/>
  <c r="O5" i="1"/>
  <c r="N11" i="1"/>
  <c r="M10" i="1"/>
  <c r="N7" i="1"/>
  <c r="N16" i="1"/>
  <c r="O28" i="1"/>
  <c r="N27" i="1"/>
  <c r="M24" i="1"/>
  <c r="O22" i="1"/>
  <c r="N21" i="1"/>
  <c r="M18" i="1"/>
  <c r="M6" i="1"/>
  <c r="N12" i="1"/>
  <c r="O9" i="1"/>
  <c r="N8" i="1"/>
  <c r="N28" i="1"/>
  <c r="O23" i="1"/>
  <c r="N22" i="1"/>
  <c r="O17" i="1"/>
  <c r="O15" i="1"/>
  <c r="N17" i="1"/>
</calcChain>
</file>

<file path=xl/sharedStrings.xml><?xml version="1.0" encoding="utf-8"?>
<sst xmlns="http://schemas.openxmlformats.org/spreadsheetml/2006/main" count="95" uniqueCount="71">
  <si>
    <t>Activos</t>
  </si>
  <si>
    <t>Servicios</t>
  </si>
  <si>
    <t>Software</t>
  </si>
  <si>
    <t>Media</t>
  </si>
  <si>
    <t>Datos</t>
  </si>
  <si>
    <t>Active Directory</t>
  </si>
  <si>
    <t>Código fuente PLC</t>
  </si>
  <si>
    <t>TiemViewer</t>
  </si>
  <si>
    <t>Gestoría externa</t>
  </si>
  <si>
    <t>Red IT/OT</t>
  </si>
  <si>
    <t>Portátiles de campo</t>
  </si>
  <si>
    <t>Backups</t>
  </si>
  <si>
    <t>HMI</t>
  </si>
  <si>
    <t>Microsoft 365</t>
  </si>
  <si>
    <t>Amenaza</t>
  </si>
  <si>
    <t>Mala configuración</t>
  </si>
  <si>
    <t>Amenaza según magerit</t>
  </si>
  <si>
    <t>sin MFA</t>
  </si>
  <si>
    <t>con acceso FTP a datos de RRHH</t>
  </si>
  <si>
    <t>Sin control de versiones ni acceso granular</t>
  </si>
  <si>
    <t>sin segmentación</t>
  </si>
  <si>
    <t>sin cifrado</t>
  </si>
  <si>
    <t>sin cifrar ni pruebas de restauración</t>
  </si>
  <si>
    <t>credenciales por defecto</t>
  </si>
  <si>
    <t>sin MFA ni DLP</t>
  </si>
  <si>
    <t>C</t>
  </si>
  <si>
    <t>I</t>
  </si>
  <si>
    <t>A</t>
  </si>
  <si>
    <t>Degradacion</t>
  </si>
  <si>
    <t>Frecuencia</t>
  </si>
  <si>
    <t>L2.c5</t>
  </si>
  <si>
    <t>L2.c4</t>
  </si>
  <si>
    <t>L2.c2</t>
  </si>
  <si>
    <t>parcial</t>
  </si>
  <si>
    <t>total</t>
  </si>
  <si>
    <t>a5</t>
  </si>
  <si>
    <t>a11</t>
  </si>
  <si>
    <t xml:space="preserve">e19 </t>
  </si>
  <si>
    <t>e4</t>
  </si>
  <si>
    <t>a15</t>
  </si>
  <si>
    <t>e25</t>
  </si>
  <si>
    <t>tabla</t>
  </si>
  <si>
    <t xml:space="preserve">e4 </t>
  </si>
  <si>
    <t>a6</t>
  </si>
  <si>
    <t>e19</t>
  </si>
  <si>
    <t xml:space="preserve">a5 </t>
  </si>
  <si>
    <t>a5 y ( E4)</t>
  </si>
  <si>
    <t xml:space="preserve"> a25 (e8)</t>
  </si>
  <si>
    <t>e2 (a15 dep de a11)</t>
  </si>
  <si>
    <t>a4 o a5 confirmar</t>
  </si>
  <si>
    <t>en %</t>
  </si>
  <si>
    <t>Riesgo/componente</t>
  </si>
  <si>
    <t>Mapa de riesgos</t>
  </si>
  <si>
    <t xml:space="preserve">muy alto </t>
  </si>
  <si>
    <t>alto</t>
  </si>
  <si>
    <t>bajo</t>
  </si>
  <si>
    <t>medio</t>
  </si>
  <si>
    <t>10 a 5</t>
  </si>
  <si>
    <t>1000a500</t>
  </si>
  <si>
    <t>100a50</t>
  </si>
  <si>
    <t>&lt;1</t>
  </si>
  <si>
    <t>Salvaguardas</t>
  </si>
  <si>
    <t>D.A, D.C, H.AU, BC.DRP</t>
  </si>
  <si>
    <t>COM.C, E.3,D.C</t>
  </si>
  <si>
    <t>H.IA,H.AC</t>
  </si>
  <si>
    <t>COM.DS,IP.SPP</t>
  </si>
  <si>
    <t>COM.DS,IP.SPP,IP.BS,H.tools.IDS</t>
  </si>
  <si>
    <t>H.IA,H.AC,H.AU,SW.SC</t>
  </si>
  <si>
    <t>H.IA,H.AU,E.4,S.TW</t>
  </si>
  <si>
    <t>media CIA</t>
  </si>
  <si>
    <t>media CIA sirve para ver tras implementación de salvaguardas cúanto reduciriamos las amenazas sobre el activo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</si>
</sst>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/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4" xfId="0" applyFill="1" applyBorder="1"/>
    <xf numFmtId="0" fontId="1" fillId="6" borderId="8" xfId="0" applyFont="1" applyFill="1" applyBorder="1" applyAlignment="1">
      <alignment horizontal="center"/>
    </xf>
    <xf numFmtId="0" fontId="1" fillId="6" borderId="9" xfId="0" applyFont="1" applyFill="1" applyBorder="1" applyAlignment="1">
      <alignment horizontal="center"/>
    </xf>
    <xf numFmtId="0" fontId="1" fillId="6" borderId="10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6" borderId="0" xfId="0" applyFont="1" applyFill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7" borderId="12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3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8" borderId="2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7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0" fillId="0" borderId="3" xfId="0" applyBorder="1" applyAlignment="1">
      <alignment horizontal="center"/>
    </xf>
    <xf numFmtId="16" fontId="0" fillId="0" borderId="6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"/>
  <sheetViews>
    <sheetView tabSelected="1" zoomScale="86" zoomScaleNormal="86" workbookViewId="0">
      <selection activeCell="L15" sqref="L15"/>
    </sheetView>
  </sheetViews>
  <sheetFormatPr defaultRowHeight="14.4" x14ac:dyDescent="0.3"/>
  <cols>
    <col min="1" max="1" width="18.21875" customWidth="1"/>
    <col min="2" max="2" width="30.88671875" customWidth="1"/>
    <col min="3" max="3" width="23.44140625" customWidth="1"/>
    <col min="7" max="7" width="11" customWidth="1"/>
    <col min="8" max="9" width="14.21875" customWidth="1"/>
    <col min="10" max="11" width="12.6640625" customWidth="1"/>
    <col min="12" max="12" width="22.6640625" customWidth="1"/>
    <col min="16" max="16" width="36.6640625" customWidth="1"/>
  </cols>
  <sheetData>
    <row r="1" spans="1:18" ht="15" thickBot="1" x14ac:dyDescent="0.35"/>
    <row r="2" spans="1:18" ht="15" thickBot="1" x14ac:dyDescent="0.35">
      <c r="A2" s="23" t="s">
        <v>0</v>
      </c>
      <c r="B2" s="23" t="s">
        <v>14</v>
      </c>
      <c r="C2" s="26" t="s">
        <v>16</v>
      </c>
      <c r="D2" s="24" t="s">
        <v>25</v>
      </c>
      <c r="E2" s="24" t="s">
        <v>26</v>
      </c>
      <c r="F2" s="25" t="s">
        <v>27</v>
      </c>
      <c r="G2" s="25" t="s">
        <v>69</v>
      </c>
      <c r="H2" s="25" t="s">
        <v>28</v>
      </c>
      <c r="I2" s="25"/>
      <c r="J2" s="25" t="s">
        <v>29</v>
      </c>
      <c r="K2" s="27" t="s">
        <v>50</v>
      </c>
      <c r="L2" s="27" t="s">
        <v>51</v>
      </c>
      <c r="M2" s="23" t="s">
        <v>25</v>
      </c>
      <c r="N2" s="24" t="s">
        <v>26</v>
      </c>
      <c r="O2" s="25" t="s">
        <v>27</v>
      </c>
      <c r="P2" s="27" t="s">
        <v>61</v>
      </c>
    </row>
    <row r="3" spans="1:18" ht="15" thickBot="1" x14ac:dyDescent="0.35">
      <c r="A3" s="2" t="s">
        <v>32</v>
      </c>
      <c r="B3" s="2"/>
      <c r="C3" s="2"/>
      <c r="D3" s="2"/>
      <c r="E3" s="2"/>
      <c r="F3" s="2"/>
      <c r="G3" s="2"/>
      <c r="H3" s="1"/>
      <c r="I3" s="1"/>
      <c r="J3" s="1"/>
      <c r="K3" s="1"/>
      <c r="L3" s="1"/>
      <c r="M3" s="2"/>
      <c r="N3" s="2"/>
      <c r="O3" s="2"/>
      <c r="P3" s="2"/>
    </row>
    <row r="4" spans="1:18" ht="15" thickBot="1" x14ac:dyDescent="0.35">
      <c r="A4" s="11" t="s">
        <v>1</v>
      </c>
      <c r="B4" s="2"/>
      <c r="C4" s="2" t="s">
        <v>30</v>
      </c>
      <c r="D4" s="41" t="s">
        <v>31</v>
      </c>
      <c r="E4" s="41"/>
      <c r="F4" s="41"/>
      <c r="G4" s="2"/>
      <c r="H4" s="1" t="s">
        <v>41</v>
      </c>
      <c r="I4" s="1"/>
      <c r="J4" s="1" t="s">
        <v>41</v>
      </c>
      <c r="K4" s="1"/>
      <c r="L4" s="1"/>
      <c r="M4" s="2"/>
      <c r="N4" s="2"/>
      <c r="O4" s="2"/>
      <c r="P4" s="2"/>
    </row>
    <row r="5" spans="1:18" ht="15" thickBot="1" x14ac:dyDescent="0.35">
      <c r="A5" s="12" t="s">
        <v>7</v>
      </c>
      <c r="B5" s="42" t="s">
        <v>17</v>
      </c>
      <c r="C5" s="7" t="s">
        <v>42</v>
      </c>
      <c r="D5" s="3">
        <v>0</v>
      </c>
      <c r="E5" s="3">
        <v>9</v>
      </c>
      <c r="F5" s="3">
        <v>0</v>
      </c>
      <c r="G5" s="3">
        <f>(D5+E5+F5)</f>
        <v>9</v>
      </c>
      <c r="H5" s="7" t="s">
        <v>33</v>
      </c>
      <c r="I5" s="9">
        <v>10</v>
      </c>
      <c r="J5" s="9">
        <v>100</v>
      </c>
      <c r="K5" s="1">
        <f>J5/100</f>
        <v>1</v>
      </c>
      <c r="L5" s="1"/>
      <c r="M5" s="28">
        <f>D5*I5*K5</f>
        <v>0</v>
      </c>
      <c r="N5" s="37">
        <f>E5*I5*K5</f>
        <v>90</v>
      </c>
      <c r="O5" s="9">
        <f>F5*I5*K5</f>
        <v>0</v>
      </c>
      <c r="P5" s="1" t="s">
        <v>68</v>
      </c>
    </row>
    <row r="6" spans="1:18" ht="15" thickBot="1" x14ac:dyDescent="0.35">
      <c r="A6" s="13"/>
      <c r="B6" s="5"/>
      <c r="C6" s="8" t="s">
        <v>35</v>
      </c>
      <c r="D6" s="5">
        <v>10</v>
      </c>
      <c r="E6" s="5">
        <v>9</v>
      </c>
      <c r="F6" s="5">
        <v>0</v>
      </c>
      <c r="G6" s="40">
        <f>(D6+E6+F6)</f>
        <v>19</v>
      </c>
      <c r="H6" s="8" t="s">
        <v>34</v>
      </c>
      <c r="I6" s="10">
        <v>100</v>
      </c>
      <c r="J6" s="10">
        <v>1</v>
      </c>
      <c r="K6" s="1">
        <f t="shared" ref="K6:K28" si="0">J6/100</f>
        <v>0.01</v>
      </c>
      <c r="L6" s="1"/>
      <c r="M6" s="4">
        <f>D6*I6*K6</f>
        <v>10</v>
      </c>
      <c r="N6" s="5">
        <f>E6*I6*K6</f>
        <v>9</v>
      </c>
      <c r="O6" s="10">
        <f>F6*I6*J6</f>
        <v>0</v>
      </c>
      <c r="P6" s="1"/>
    </row>
    <row r="7" spans="1:18" ht="15" thickBot="1" x14ac:dyDescent="0.35">
      <c r="A7" s="12" t="s">
        <v>8</v>
      </c>
      <c r="B7" s="42" t="s">
        <v>18</v>
      </c>
      <c r="C7" s="7" t="s">
        <v>44</v>
      </c>
      <c r="D7" s="3">
        <v>9</v>
      </c>
      <c r="E7" s="3">
        <v>0</v>
      </c>
      <c r="F7" s="3">
        <v>0</v>
      </c>
      <c r="G7" s="3">
        <f t="shared" ref="G7:G12" si="1">(D7+E7+F7)</f>
        <v>9</v>
      </c>
      <c r="H7" s="7" t="s">
        <v>34</v>
      </c>
      <c r="I7" s="9">
        <v>100</v>
      </c>
      <c r="J7" s="9">
        <v>100</v>
      </c>
      <c r="K7" s="1">
        <f t="shared" si="0"/>
        <v>1</v>
      </c>
      <c r="L7" s="1"/>
      <c r="M7" s="31">
        <f t="shared" ref="M7:M12" si="2">D7*I7*K7</f>
        <v>900</v>
      </c>
      <c r="N7" s="3">
        <f t="shared" ref="N7:N12" si="3">E7*I7*K7</f>
        <v>0</v>
      </c>
      <c r="O7" s="9">
        <f t="shared" ref="O7" si="4">F7*I7*K7</f>
        <v>0</v>
      </c>
      <c r="P7" s="1" t="s">
        <v>63</v>
      </c>
    </row>
    <row r="8" spans="1:18" ht="15" thickBot="1" x14ac:dyDescent="0.35">
      <c r="A8" s="13"/>
      <c r="B8" s="5"/>
      <c r="C8" s="8" t="s">
        <v>36</v>
      </c>
      <c r="D8" s="5">
        <v>9</v>
      </c>
      <c r="E8" s="5">
        <v>7</v>
      </c>
      <c r="F8" s="5">
        <v>0</v>
      </c>
      <c r="G8" s="5">
        <f t="shared" si="1"/>
        <v>16</v>
      </c>
      <c r="H8" s="8" t="s">
        <v>33</v>
      </c>
      <c r="I8" s="10">
        <v>10</v>
      </c>
      <c r="J8" s="10">
        <v>10</v>
      </c>
      <c r="K8" s="1">
        <f t="shared" si="0"/>
        <v>0.1</v>
      </c>
      <c r="L8" s="1"/>
      <c r="M8" s="4">
        <f t="shared" si="2"/>
        <v>9</v>
      </c>
      <c r="N8" s="5">
        <f t="shared" si="3"/>
        <v>7</v>
      </c>
      <c r="O8" s="10">
        <f t="shared" ref="O8" si="5">F8*I8*J8</f>
        <v>0</v>
      </c>
      <c r="P8" s="1"/>
    </row>
    <row r="9" spans="1:18" ht="15" thickBot="1" x14ac:dyDescent="0.35">
      <c r="A9" s="12" t="s">
        <v>12</v>
      </c>
      <c r="B9" s="42" t="s">
        <v>23</v>
      </c>
      <c r="C9" s="7" t="s">
        <v>46</v>
      </c>
      <c r="D9" s="3">
        <v>5</v>
      </c>
      <c r="E9" s="3">
        <v>9</v>
      </c>
      <c r="F9" s="3">
        <v>0</v>
      </c>
      <c r="G9" s="3">
        <f t="shared" si="1"/>
        <v>14</v>
      </c>
      <c r="H9" s="7" t="s">
        <v>34</v>
      </c>
      <c r="I9" s="9">
        <v>100</v>
      </c>
      <c r="J9" s="9">
        <v>100</v>
      </c>
      <c r="K9" s="1">
        <f t="shared" si="0"/>
        <v>1</v>
      </c>
      <c r="L9" s="1"/>
      <c r="M9" s="31">
        <f t="shared" si="2"/>
        <v>500</v>
      </c>
      <c r="N9" s="32">
        <f t="shared" si="3"/>
        <v>900</v>
      </c>
      <c r="O9" s="9">
        <f t="shared" ref="O9" si="6">F9*I9*K9</f>
        <v>0</v>
      </c>
      <c r="P9" s="1" t="s">
        <v>64</v>
      </c>
    </row>
    <row r="10" spans="1:18" ht="15" thickBot="1" x14ac:dyDescent="0.35">
      <c r="A10" s="13"/>
      <c r="B10" s="5"/>
      <c r="C10" s="8" t="s">
        <v>36</v>
      </c>
      <c r="D10" s="5">
        <v>5</v>
      </c>
      <c r="E10" s="5">
        <v>9</v>
      </c>
      <c r="F10" s="5">
        <v>0</v>
      </c>
      <c r="G10" s="5">
        <f t="shared" si="1"/>
        <v>14</v>
      </c>
      <c r="H10" s="8" t="s">
        <v>34</v>
      </c>
      <c r="I10" s="10">
        <v>100</v>
      </c>
      <c r="J10" s="10">
        <v>100</v>
      </c>
      <c r="K10" s="1">
        <f t="shared" si="0"/>
        <v>1</v>
      </c>
      <c r="L10" s="1"/>
      <c r="M10" s="33">
        <f t="shared" si="2"/>
        <v>500</v>
      </c>
      <c r="N10" s="34">
        <f t="shared" si="3"/>
        <v>900</v>
      </c>
      <c r="O10" s="10">
        <f t="shared" ref="O10" si="7">F10*I10*J10</f>
        <v>0</v>
      </c>
      <c r="P10" s="1" t="s">
        <v>65</v>
      </c>
    </row>
    <row r="11" spans="1:18" ht="15" thickBot="1" x14ac:dyDescent="0.35">
      <c r="A11" s="12" t="s">
        <v>13</v>
      </c>
      <c r="B11" s="42" t="s">
        <v>24</v>
      </c>
      <c r="C11" s="7" t="s">
        <v>45</v>
      </c>
      <c r="D11" s="3">
        <v>9</v>
      </c>
      <c r="E11" s="3">
        <v>7</v>
      </c>
      <c r="F11" s="3">
        <v>0</v>
      </c>
      <c r="G11" s="3">
        <f t="shared" si="1"/>
        <v>16</v>
      </c>
      <c r="H11" s="7" t="s">
        <v>34</v>
      </c>
      <c r="I11" s="9">
        <v>100</v>
      </c>
      <c r="J11" s="9">
        <v>1</v>
      </c>
      <c r="K11" s="1">
        <f t="shared" si="0"/>
        <v>0.01</v>
      </c>
      <c r="L11" s="1"/>
      <c r="M11" s="28">
        <f t="shared" si="2"/>
        <v>9</v>
      </c>
      <c r="N11" s="3">
        <f t="shared" si="3"/>
        <v>7</v>
      </c>
      <c r="O11" s="9">
        <f t="shared" ref="O11" si="8">F11*I11*K11</f>
        <v>0</v>
      </c>
      <c r="P11" s="1"/>
    </row>
    <row r="12" spans="1:18" ht="15" thickBot="1" x14ac:dyDescent="0.35">
      <c r="A12" s="13"/>
      <c r="B12" s="5"/>
      <c r="C12" s="8" t="s">
        <v>37</v>
      </c>
      <c r="D12" s="5">
        <v>9</v>
      </c>
      <c r="E12" s="5">
        <v>0</v>
      </c>
      <c r="F12" s="5">
        <v>0</v>
      </c>
      <c r="G12" s="5">
        <f t="shared" si="1"/>
        <v>9</v>
      </c>
      <c r="H12" s="8" t="s">
        <v>33</v>
      </c>
      <c r="I12" s="10">
        <v>10</v>
      </c>
      <c r="J12" s="10">
        <v>10</v>
      </c>
      <c r="K12" s="1">
        <f t="shared" si="0"/>
        <v>0.1</v>
      </c>
      <c r="L12" s="1"/>
      <c r="M12" s="4">
        <f t="shared" si="2"/>
        <v>9</v>
      </c>
      <c r="N12" s="5">
        <f t="shared" si="3"/>
        <v>0</v>
      </c>
      <c r="O12" s="10">
        <f t="shared" ref="O12" si="9">F12*I12*J12</f>
        <v>0</v>
      </c>
      <c r="P12" s="1"/>
    </row>
    <row r="13" spans="1:18" ht="15" thickBot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44" t="s">
        <v>52</v>
      </c>
      <c r="R13" s="45"/>
    </row>
    <row r="14" spans="1:18" ht="15" thickBot="1" x14ac:dyDescent="0.35">
      <c r="A14" s="14" t="s">
        <v>2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28" t="s">
        <v>53</v>
      </c>
      <c r="R14" s="9" t="s">
        <v>58</v>
      </c>
    </row>
    <row r="15" spans="1:18" ht="15" thickBot="1" x14ac:dyDescent="0.35">
      <c r="A15" s="15" t="s">
        <v>5</v>
      </c>
      <c r="B15" s="42" t="s">
        <v>15</v>
      </c>
      <c r="C15" s="7" t="s">
        <v>49</v>
      </c>
      <c r="D15" s="3">
        <v>9</v>
      </c>
      <c r="E15" s="3">
        <v>9</v>
      </c>
      <c r="F15" s="3">
        <v>10</v>
      </c>
      <c r="G15" s="39">
        <f>D15+E15+F15</f>
        <v>28</v>
      </c>
      <c r="H15" s="7" t="s">
        <v>34</v>
      </c>
      <c r="I15" s="9">
        <v>100</v>
      </c>
      <c r="J15" s="9">
        <v>0.1</v>
      </c>
      <c r="K15" s="1">
        <f t="shared" si="0"/>
        <v>1E-3</v>
      </c>
      <c r="L15" s="1"/>
      <c r="M15" s="28">
        <f>D15*I15*K15</f>
        <v>0.9</v>
      </c>
      <c r="N15" s="3">
        <f>E15*I15*K15</f>
        <v>0.9</v>
      </c>
      <c r="O15" s="9">
        <f>F15*I15*K15</f>
        <v>1</v>
      </c>
      <c r="P15" s="1"/>
      <c r="Q15" s="47" t="s">
        <v>54</v>
      </c>
      <c r="R15" s="48" t="s">
        <v>59</v>
      </c>
    </row>
    <row r="16" spans="1:18" ht="15" thickBot="1" x14ac:dyDescent="0.35">
      <c r="A16" s="16"/>
      <c r="B16" s="5"/>
      <c r="C16" s="8" t="s">
        <v>38</v>
      </c>
      <c r="D16" s="5">
        <v>0</v>
      </c>
      <c r="E16" s="5">
        <v>9</v>
      </c>
      <c r="F16" s="5">
        <v>0</v>
      </c>
      <c r="G16" s="5">
        <f>D16+E16+F16</f>
        <v>9</v>
      </c>
      <c r="H16" s="8" t="s">
        <v>33</v>
      </c>
      <c r="I16" s="10">
        <v>10</v>
      </c>
      <c r="J16" s="10">
        <v>100</v>
      </c>
      <c r="K16" s="1">
        <f t="shared" si="0"/>
        <v>1</v>
      </c>
      <c r="L16" s="1"/>
      <c r="M16" s="29">
        <f>D16*I16*K16</f>
        <v>0</v>
      </c>
      <c r="N16" s="38">
        <f>E16*I16*K16</f>
        <v>90</v>
      </c>
      <c r="O16" s="30">
        <f>F16*I16*K16</f>
        <v>0</v>
      </c>
      <c r="P16" s="1" t="s">
        <v>67</v>
      </c>
      <c r="Q16" s="4" t="s">
        <v>56</v>
      </c>
      <c r="R16" s="46" t="s">
        <v>57</v>
      </c>
    </row>
    <row r="17" spans="1:18" ht="15" thickBot="1" x14ac:dyDescent="0.35">
      <c r="A17" s="15" t="s">
        <v>6</v>
      </c>
      <c r="B17" s="42" t="s">
        <v>19</v>
      </c>
      <c r="C17" s="7" t="s">
        <v>43</v>
      </c>
      <c r="D17" s="3">
        <v>9</v>
      </c>
      <c r="E17" s="3">
        <v>10</v>
      </c>
      <c r="F17" s="3">
        <v>8</v>
      </c>
      <c r="G17" s="39">
        <f t="shared" ref="G17:G28" si="10">D17+E17+F17</f>
        <v>27</v>
      </c>
      <c r="H17" s="7" t="s">
        <v>33</v>
      </c>
      <c r="I17" s="9">
        <v>10</v>
      </c>
      <c r="J17" s="9">
        <v>10</v>
      </c>
      <c r="K17" s="1">
        <f t="shared" si="0"/>
        <v>0.1</v>
      </c>
      <c r="L17" s="1"/>
      <c r="M17" s="28">
        <f>D17*I17*K17</f>
        <v>9</v>
      </c>
      <c r="N17" s="3">
        <f>E17*I17*K17</f>
        <v>10</v>
      </c>
      <c r="O17" s="9">
        <f>F17*I17*K17</f>
        <v>8</v>
      </c>
      <c r="P17" s="1"/>
      <c r="Q17" s="4" t="s">
        <v>55</v>
      </c>
      <c r="R17" s="10" t="s">
        <v>60</v>
      </c>
    </row>
    <row r="18" spans="1:18" ht="15" thickBot="1" x14ac:dyDescent="0.35">
      <c r="A18" s="4"/>
      <c r="B18" s="5"/>
      <c r="C18" s="8" t="s">
        <v>39</v>
      </c>
      <c r="D18" s="5">
        <v>0</v>
      </c>
      <c r="E18" s="5">
        <v>10</v>
      </c>
      <c r="F18" s="5">
        <v>0</v>
      </c>
      <c r="G18" s="5">
        <f t="shared" si="10"/>
        <v>10</v>
      </c>
      <c r="H18" s="8" t="s">
        <v>34</v>
      </c>
      <c r="I18" s="10">
        <v>100</v>
      </c>
      <c r="J18" s="10">
        <v>0.1</v>
      </c>
      <c r="K18" s="1">
        <f t="shared" si="0"/>
        <v>1E-3</v>
      </c>
      <c r="L18" s="1"/>
      <c r="M18" s="4">
        <f>D18*I18*K18</f>
        <v>0</v>
      </c>
      <c r="N18" s="5">
        <f>E18*I18*K18</f>
        <v>1</v>
      </c>
      <c r="O18" s="10">
        <f>F18*I18*K18</f>
        <v>0</v>
      </c>
      <c r="P18" s="1"/>
    </row>
    <row r="19" spans="1:18" ht="15" thickBot="1" x14ac:dyDescent="0.35">
      <c r="A19" s="1"/>
      <c r="B19" s="1"/>
      <c r="C19" s="1"/>
      <c r="D19" s="1"/>
      <c r="E19" s="1"/>
      <c r="F19" s="1"/>
      <c r="G19" s="3"/>
      <c r="H19" s="1"/>
      <c r="I19" s="1"/>
      <c r="J19" s="1"/>
      <c r="K19" s="1"/>
      <c r="L19" s="1"/>
      <c r="M19" s="1"/>
      <c r="N19" s="1"/>
      <c r="O19" s="1"/>
      <c r="P19" s="1"/>
    </row>
    <row r="20" spans="1:18" ht="15" thickBot="1" x14ac:dyDescent="0.35">
      <c r="A20" s="17" t="s">
        <v>3</v>
      </c>
      <c r="B20" s="1"/>
      <c r="C20" s="1"/>
      <c r="D20" s="1"/>
      <c r="E20" s="1"/>
      <c r="F20" s="1"/>
      <c r="G20" s="5"/>
      <c r="H20" s="1"/>
      <c r="I20" s="1"/>
      <c r="J20" s="1"/>
      <c r="K20" s="1"/>
      <c r="L20" s="1"/>
      <c r="M20" s="1"/>
      <c r="N20" s="1"/>
      <c r="O20" s="1"/>
      <c r="P20" s="1"/>
    </row>
    <row r="21" spans="1:18" ht="15" thickBot="1" x14ac:dyDescent="0.35">
      <c r="A21" s="18" t="s">
        <v>9</v>
      </c>
      <c r="B21" s="42" t="s">
        <v>20</v>
      </c>
      <c r="C21" s="7" t="s">
        <v>36</v>
      </c>
      <c r="D21" s="3">
        <v>7</v>
      </c>
      <c r="E21" s="3">
        <v>10</v>
      </c>
      <c r="F21" s="3">
        <v>0</v>
      </c>
      <c r="G21" s="3">
        <f t="shared" si="10"/>
        <v>17</v>
      </c>
      <c r="H21" s="7" t="s">
        <v>34</v>
      </c>
      <c r="I21" s="9">
        <v>100</v>
      </c>
      <c r="J21" s="9">
        <v>1</v>
      </c>
      <c r="K21" s="1">
        <f t="shared" si="0"/>
        <v>0.01</v>
      </c>
      <c r="L21" s="1"/>
      <c r="M21" s="28">
        <f>D21*I21*K21</f>
        <v>7</v>
      </c>
      <c r="N21" s="3">
        <f>E21*I21*K21</f>
        <v>10</v>
      </c>
      <c r="O21" s="9">
        <f>F21*I21*K21</f>
        <v>0</v>
      </c>
      <c r="P21" s="1"/>
    </row>
    <row r="22" spans="1:18" ht="15" thickBot="1" x14ac:dyDescent="0.35">
      <c r="A22" s="19"/>
      <c r="B22" s="5"/>
      <c r="C22" s="8" t="s">
        <v>38</v>
      </c>
      <c r="D22" s="5">
        <v>0</v>
      </c>
      <c r="E22" s="5">
        <v>10</v>
      </c>
      <c r="F22" s="5">
        <v>0</v>
      </c>
      <c r="G22" s="5">
        <f t="shared" si="10"/>
        <v>10</v>
      </c>
      <c r="H22" s="8" t="s">
        <v>34</v>
      </c>
      <c r="I22" s="10">
        <v>100</v>
      </c>
      <c r="J22" s="10">
        <v>100</v>
      </c>
      <c r="K22" s="1">
        <f t="shared" si="0"/>
        <v>1</v>
      </c>
      <c r="L22" s="1"/>
      <c r="M22" s="29">
        <f>D22*I22*K22</f>
        <v>0</v>
      </c>
      <c r="N22" s="35">
        <f>E22*I22*K22</f>
        <v>1000</v>
      </c>
      <c r="O22" s="30">
        <f>F22*I22*K22</f>
        <v>0</v>
      </c>
      <c r="P22" s="1" t="s">
        <v>66</v>
      </c>
    </row>
    <row r="23" spans="1:18" ht="15" thickBot="1" x14ac:dyDescent="0.35">
      <c r="A23" s="18" t="s">
        <v>10</v>
      </c>
      <c r="B23" s="42" t="s">
        <v>21</v>
      </c>
      <c r="C23" s="7" t="s">
        <v>47</v>
      </c>
      <c r="D23" s="3">
        <v>9</v>
      </c>
      <c r="E23" s="3">
        <v>0</v>
      </c>
      <c r="F23" s="3">
        <v>7</v>
      </c>
      <c r="G23" s="3">
        <f t="shared" si="10"/>
        <v>16</v>
      </c>
      <c r="H23" s="7" t="s">
        <v>34</v>
      </c>
      <c r="I23" s="9">
        <v>100</v>
      </c>
      <c r="J23" s="9">
        <v>0.1</v>
      </c>
      <c r="K23" s="1">
        <f t="shared" si="0"/>
        <v>1E-3</v>
      </c>
      <c r="L23" s="1"/>
      <c r="M23" s="28">
        <f>D23*I23*K23</f>
        <v>0.9</v>
      </c>
      <c r="N23" s="3">
        <f>E23*I23*K23</f>
        <v>0</v>
      </c>
      <c r="O23" s="9">
        <f>F23*I23*K23</f>
        <v>0.70000000000000007</v>
      </c>
      <c r="P23" s="1"/>
    </row>
    <row r="24" spans="1:18" ht="15" thickBot="1" x14ac:dyDescent="0.35">
      <c r="A24" s="4"/>
      <c r="B24" s="5"/>
      <c r="C24" s="8" t="s">
        <v>40</v>
      </c>
      <c r="D24" s="5">
        <v>9</v>
      </c>
      <c r="E24" s="5">
        <v>0</v>
      </c>
      <c r="F24" s="5">
        <v>7</v>
      </c>
      <c r="G24" s="5">
        <f t="shared" si="10"/>
        <v>16</v>
      </c>
      <c r="H24" s="8" t="s">
        <v>34</v>
      </c>
      <c r="I24" s="10">
        <v>100</v>
      </c>
      <c r="J24" s="10">
        <v>1</v>
      </c>
      <c r="K24" s="1">
        <f t="shared" si="0"/>
        <v>0.01</v>
      </c>
      <c r="L24" s="1"/>
      <c r="M24" s="4">
        <f>D24*I24*K24</f>
        <v>9</v>
      </c>
      <c r="N24" s="5">
        <f>E24*I24*K24</f>
        <v>0</v>
      </c>
      <c r="O24" s="10">
        <f>F24*I24*K24</f>
        <v>7</v>
      </c>
      <c r="P24" s="1"/>
    </row>
    <row r="25" spans="1:18" ht="15" thickBot="1" x14ac:dyDescent="0.35">
      <c r="A25" s="1"/>
      <c r="B25" s="1"/>
      <c r="C25" s="1"/>
      <c r="D25" s="1"/>
      <c r="E25" s="1"/>
      <c r="F25" s="1"/>
      <c r="G25" s="3"/>
      <c r="H25" s="1"/>
      <c r="I25" s="1"/>
      <c r="J25" s="1"/>
      <c r="K25" s="1"/>
      <c r="L25" s="1"/>
      <c r="M25" s="1"/>
      <c r="N25" s="1"/>
      <c r="O25" s="1"/>
      <c r="P25" s="1"/>
    </row>
    <row r="26" spans="1:18" ht="15" thickBot="1" x14ac:dyDescent="0.35">
      <c r="A26" s="20" t="s">
        <v>4</v>
      </c>
      <c r="B26" s="1"/>
      <c r="C26" s="1"/>
      <c r="D26" s="1"/>
      <c r="E26" s="1"/>
      <c r="F26" s="1"/>
      <c r="G26" s="5"/>
      <c r="H26" s="1"/>
      <c r="I26" s="1"/>
      <c r="J26" s="1"/>
      <c r="K26" s="1"/>
      <c r="L26" s="1"/>
      <c r="M26" s="1"/>
      <c r="N26" s="1"/>
      <c r="O26" s="1"/>
      <c r="P26" s="1"/>
    </row>
    <row r="27" spans="1:18" ht="15" thickBot="1" x14ac:dyDescent="0.35">
      <c r="A27" s="21" t="s">
        <v>11</v>
      </c>
      <c r="B27" s="42" t="s">
        <v>22</v>
      </c>
      <c r="C27" s="7" t="s">
        <v>48</v>
      </c>
      <c r="D27" s="3">
        <v>9</v>
      </c>
      <c r="E27" s="3">
        <v>8</v>
      </c>
      <c r="F27" s="3">
        <v>9</v>
      </c>
      <c r="G27" s="39">
        <f t="shared" si="10"/>
        <v>26</v>
      </c>
      <c r="H27" s="7" t="s">
        <v>34</v>
      </c>
      <c r="I27" s="9">
        <v>100</v>
      </c>
      <c r="J27" s="9">
        <v>100</v>
      </c>
      <c r="K27" s="1">
        <f t="shared" si="0"/>
        <v>1</v>
      </c>
      <c r="L27" s="1"/>
      <c r="M27" s="31">
        <f>D27*I27*K27</f>
        <v>900</v>
      </c>
      <c r="N27" s="32">
        <f>E27*I27*K27</f>
        <v>800</v>
      </c>
      <c r="O27" s="36">
        <f>F27*I27*K27</f>
        <v>900</v>
      </c>
      <c r="P27" s="1" t="s">
        <v>62</v>
      </c>
    </row>
    <row r="28" spans="1:18" ht="15" thickBot="1" x14ac:dyDescent="0.35">
      <c r="A28" s="22"/>
      <c r="B28" s="6"/>
      <c r="C28" s="8" t="s">
        <v>36</v>
      </c>
      <c r="D28" s="5">
        <v>0</v>
      </c>
      <c r="E28" s="5">
        <v>9</v>
      </c>
      <c r="F28" s="5">
        <v>8</v>
      </c>
      <c r="G28" s="5">
        <f t="shared" si="10"/>
        <v>17</v>
      </c>
      <c r="H28" s="8" t="s">
        <v>34</v>
      </c>
      <c r="I28" s="10">
        <v>100</v>
      </c>
      <c r="J28" s="10">
        <v>1</v>
      </c>
      <c r="K28" s="1">
        <f t="shared" si="0"/>
        <v>0.01</v>
      </c>
      <c r="L28" s="1"/>
      <c r="M28" s="4">
        <f>D28*I28*K28</f>
        <v>0</v>
      </c>
      <c r="N28" s="5">
        <f>E28*I28*K28</f>
        <v>9</v>
      </c>
      <c r="O28" s="10">
        <f>F28*I28*K28</f>
        <v>8</v>
      </c>
      <c r="P28" s="1"/>
    </row>
    <row r="30" spans="1:18" x14ac:dyDescent="0.3">
      <c r="F30" s="43" t="s">
        <v>70</v>
      </c>
      <c r="G30" s="43"/>
      <c r="H30" s="43"/>
      <c r="I30" s="43"/>
      <c r="J30" s="43"/>
      <c r="K30" s="43"/>
      <c r="L30" s="43"/>
    </row>
  </sheetData>
  <mergeCells count="3">
    <mergeCell ref="D4:F4"/>
    <mergeCell ref="Q13:R13"/>
    <mergeCell ref="F30:L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Gode</dc:creator>
  <cp:lastModifiedBy>Borja Ros</cp:lastModifiedBy>
  <dcterms:created xsi:type="dcterms:W3CDTF">2015-06-05T18:17:20Z</dcterms:created>
  <dcterms:modified xsi:type="dcterms:W3CDTF">2026-05-19T18:05:35Z</dcterms:modified>
</cp:coreProperties>
</file>